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yDrinkShop\docs\Lab01\"/>
    </mc:Choice>
  </mc:AlternateContent>
  <bookViews>
    <workbookView xWindow="11424" yWindow="0" windowWidth="11712" windowHeight="12336" tabRatio="650" activeTab="2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52511"/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<sst xmlns="http://schemas.openxmlformats.org/spreadsheetml/2006/main" count="164" uniqueCount="109">
  <si>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</si>
  <si>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</si>
  <si>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</si>
  <si>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</si>
  <si>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</si>
  <si>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</si>
  <si>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</si>
  <si>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</si>
  <si>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</si>
  <si>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</si>
  <si>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</si>
  <si>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</si>
  <si>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</si>
  <si>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</si>
  <si>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</si>
  <si>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</si>
  <si>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</si>
  <si>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</si>
  <si>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</si>
  <si>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</si>
  <si>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</si>
  <si>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</si>
  <si>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</si>
  <si>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</si>
  <si>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</si>
  <si>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</si>
  <si>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</si>
  <si>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</si>
  <si>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</si>
  <si>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</si>
  <si>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</si>
  <si>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</si>
  <si>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</si>
  <si>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03.04.2026</t>
  </si>
  <si>
    <t xml:space="preserve">Pașca Valentina - Diana, Nemeș Otilia  </t>
  </si>
  <si>
    <t>Pașca Valentina-Diana</t>
  </si>
  <si>
    <t>Nemeș Otilia</t>
  </si>
  <si>
    <t>R01</t>
  </si>
  <si>
    <t>R02</t>
  </si>
  <si>
    <t>R03</t>
  </si>
  <si>
    <t>R04</t>
  </si>
  <si>
    <t>R05</t>
  </si>
  <si>
    <t>R06</t>
  </si>
  <si>
    <t>R07</t>
  </si>
  <si>
    <t>45 min</t>
  </si>
  <si>
    <t>Nu se specifică unitățile de măsură pentru ingrediente.</t>
  </si>
  <si>
    <t xml:space="preserve"> -</t>
  </si>
  <si>
    <t>Funcționalitatea de autentificare nu este precizată.</t>
  </si>
  <si>
    <t>Nu există contradicții între cerințele funcționale.</t>
  </si>
  <si>
    <t>-</t>
  </si>
  <si>
    <t>1,2,3,4,5,6,7,8</t>
  </si>
  <si>
    <t>Nu se precizează nimic legat de role-based access control.</t>
  </si>
  <si>
    <t>Cerințele non-funcționale suprind toate aspectele legate de environment.</t>
  </si>
  <si>
    <t>Nu este descris scenariu de pornire a aplicației.</t>
  </si>
  <si>
    <t>Se creează confuzie la procesarea comenzii. Nu e clar dacă funcționalitatea e pentru managementul stocului sau pentru calculul prețului unei băuturi pe baza ingredientelor.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</si>
  <si>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</si>
  <si>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</si>
  <si>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</si>
  <si>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</si>
  <si>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</si>
  <si>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</si>
  <si>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</si>
  <si>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</si>
  <si>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</si>
  <si>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Structura pe straturi Controller-Service-Repo e vizibila</t>
  </si>
  <si>
    <t>Separarea responsabilitatilor intre layere este clar evidentiata</t>
  </si>
  <si>
    <t>Autentificarea și gestionarea utilizatorilor/rolurilor (Admin/Chelner)</t>
  </si>
  <si>
    <t>Lipseste logica de persistenta a rapoartelor zilnice</t>
  </si>
  <si>
    <t>DrinkShopService nu permite o comanda cu mai multe bauturi (produse).</t>
  </si>
  <si>
    <t>Nemeș Otilia, Pașca Valentina - Diana</t>
  </si>
  <si>
    <t xml:space="preserve">Intre ValidationException si DrinkShopService nu exista nici o relatie. </t>
  </si>
  <si>
    <t>Se utilizează Repository Pattern pentru persistență și Validator Pattern pentru regulile de business.</t>
  </si>
  <si>
    <t>Denumirile sunt sugestive (ex: FileRetetaRepository)</t>
  </si>
  <si>
    <t>DrinkShopController preia prea multe sarcini ce ar putea fi redistribuite.</t>
  </si>
  <si>
    <t>Intre DrinkShopApp si DrinkShopController lipseste asocierea.</t>
  </si>
  <si>
    <t>A10</t>
  </si>
  <si>
    <t>Lipseste enum-ul pentru unitatea de masura a ingredientelor.</t>
  </si>
  <si>
    <t>Pașca Valentina - Diana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</si>
  <si>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</si>
  <si>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</si>
  <si>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</si>
  <si>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</si>
  <si>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</si>
  <si>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</si>
  <si>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</si>
  <si>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</si>
  <si>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</si>
  <si>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</si>
  <si>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</si>
  <si>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</si>
  <si>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În constructorul clasei DrinkShopService, parametru din constructor numit stocService este de fapt un Repository și ar trebui redenumit stocRepo.</t>
  </si>
  <si>
    <t>DrinkShopService, linia 23</t>
  </si>
  <si>
    <t>DrinkShopService, linia 84</t>
  </si>
  <si>
    <t>În clasa StocService, metoda consuma(Reteta reteta) efectuează un cast forțat la (int) atunci când actualizează cantitatea în obiectul Stoc, ceea ce duce la un management imprecis al stocului (ex: 1.5 kg - 0.7 kg va rezulta în 0 kg în loc de 0.8 kg).</t>
  </si>
  <si>
    <t>StocService, 73</t>
  </si>
  <si>
    <t>În DrinkShopService.comandaProdus, nu există o verificare dacă obiectul reteta returnat este null înainte de a fi utilizat.</t>
  </si>
  <si>
    <t>În StocService, metoda consuma nu verifică dacă variabila ramas este 0 la finalul buclei. Dacă stocul se termină neașteptat, programul nu raportează eroarea corect.</t>
  </si>
  <si>
    <t>StocService, 77</t>
  </si>
  <si>
    <t>DrinkShopService, linia 86</t>
  </si>
  <si>
    <t>FileOrderRepository, 31</t>
  </si>
  <si>
    <t>RetetaValidator, 26</t>
  </si>
  <si>
    <t>În clasa RetetaValidator.java, metoda validate folosește accumulateAndGet pentru a uni mesajele, fără a folosi un delimitator, în cazul în care sunt erori multiple.</t>
  </si>
  <si>
    <t>Nu există riscuri de bucle infinite.</t>
  </si>
  <si>
    <t>Apelurile metodelor între straturile aplicației Controller -&gt; Service -&gt; Repository respectă semnăturile definite în interfețe</t>
  </si>
  <si>
    <t>Procesarea datelor de ieșire pentru generarea bonului fiscal și a rapoartelor zilnice funcționează conform cerințelor.</t>
  </si>
  <si>
    <t>Nu e necesară în program indexarea manuală, deoarece se folosesc iterații moderne ca și streams.</t>
  </si>
  <si>
    <t>Variabilele și constantele din proiect respectă convențiile de numire standard.</t>
  </si>
  <si>
    <t>Am creat asociere 1 la 1 între Product și Reteta. Am actualizată diagrama, astfel încât să reflecte relația, asigurând o mapare corectă.</t>
  </si>
  <si>
    <t xml:space="preserve">În clasa FileOrderRepository.java, metoda extractEntity trebuie protejată cu un bloc try-catch.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</si>
</sst>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7" fillId="0" borderId="1" xfId="0" applyFont="1" applyBorder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8" fillId="3" borderId="1" xfId="0" applyFont="1" applyFill="1" applyBorder="1"/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8" fillId="4" borderId="1" xfId="0" applyFont="1" applyFill="1" applyBorder="1"/>
    <xf numFmtId="0" fontId="6" fillId="0" borderId="1" xfId="0" applyFont="1" applyBorder="1"/>
    <xf numFmtId="0" fontId="9" fillId="0" borderId="0" xfId="0" applyFont="1"/>
    <xf numFmtId="0" fontId="5" fillId="0" borderId="1" xfId="0" applyFont="1" applyBorder="1"/>
    <xf numFmtId="0" fontId="4" fillId="0" borderId="0" xfId="0" applyFont="1"/>
    <xf numFmtId="0" fontId="3" fillId="0" borderId="0" xfId="0" applyFont="1"/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20" fontId="9" fillId="0" borderId="1" xfId="0" applyNumberFormat="1" applyFont="1" applyBorder="1"/>
    <xf numFmtId="0" fontId="1" fillId="0" borderId="1" xfId="0" applyFont="1" applyBorder="1"/>
    <xf numFmtId="0" fontId="8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right"/>
    </xf>
    <xf numFmtId="0" fontId="12" fillId="2" borderId="4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12" fillId="3" borderId="2" xfId="0" applyFont="1" applyFill="1" applyBorder="1" applyAlignment="1">
      <alignment horizontal="right"/>
    </xf>
    <xf numFmtId="0" fontId="12" fillId="3" borderId="4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right"/>
    </xf>
    <xf numFmtId="0" fontId="12" fillId="4" borderId="4" xfId="0" applyFont="1" applyFill="1" applyBorder="1" applyAlignment="1">
      <alignment horizontal="right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J27"/>
  <sheetViews>
    <sheetView workbookViewId="0">
      <selection activeCell="I3" sqref="I3:J5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10" ht="15.6" x14ac:dyDescent="0.3">
      <c r="A1" s="4"/>
      <c r="B1" s="5" t="s">
        <v>3</v>
      </c>
      <c r="H1" s="27" t="s">
        <v>23</v>
      </c>
      <c r="I1" s="27"/>
      <c r="J1" s="27"/>
    </row>
    <row r="2" spans="1:10" x14ac:dyDescent="0.3">
      <c r="B2" s="28" t="s">
        <v>19</v>
      </c>
      <c r="C2" s="28"/>
      <c r="D2" s="28"/>
      <c r="E2" s="28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2" t="s">
        <v>35</v>
      </c>
      <c r="J3" s="17">
        <v>235</v>
      </c>
    </row>
    <row r="4" spans="1:10" x14ac:dyDescent="0.3">
      <c r="C4" s="13" t="s">
        <v>0</v>
      </c>
      <c r="D4" s="29" t="s">
        <v>14</v>
      </c>
      <c r="E4" s="29"/>
      <c r="H4" s="17" t="s">
        <v>21</v>
      </c>
      <c r="I4" s="22" t="s">
        <v>36</v>
      </c>
      <c r="J4" s="3">
        <v>235</v>
      </c>
    </row>
    <row r="5" spans="1:10" x14ac:dyDescent="0.3">
      <c r="C5" s="13" t="s">
        <v>9</v>
      </c>
      <c r="D5" s="30" t="s">
        <v>13</v>
      </c>
      <c r="E5" s="31"/>
      <c r="H5" s="17" t="s">
        <v>22</v>
      </c>
      <c r="I5" s="3"/>
      <c r="J5" s="3"/>
    </row>
    <row r="6" spans="1:10" x14ac:dyDescent="0.3">
      <c r="B6" s="8"/>
      <c r="C6" s="9" t="s">
        <v>2</v>
      </c>
      <c r="D6" s="26" t="s">
        <v>34</v>
      </c>
      <c r="E6" s="26"/>
    </row>
    <row r="7" spans="1:10" x14ac:dyDescent="0.3">
      <c r="C7" s="9" t="s">
        <v>1</v>
      </c>
      <c r="D7" s="26" t="s">
        <v>33</v>
      </c>
      <c r="E7" s="26"/>
    </row>
    <row r="9" spans="1:10" x14ac:dyDescent="0.3">
      <c r="B9" s="10" t="s">
        <v>4</v>
      </c>
      <c r="C9" s="10" t="s">
        <v>5</v>
      </c>
      <c r="D9" s="10" t="s">
        <v>6</v>
      </c>
      <c r="E9" s="14" t="s">
        <v>7</v>
      </c>
    </row>
    <row r="10" spans="1:10" ht="28.8" x14ac:dyDescent="0.3">
      <c r="B10" s="3">
        <v>1</v>
      </c>
      <c r="C10" s="23" t="s">
        <v>37</v>
      </c>
      <c r="D10" s="23">
        <v>4</v>
      </c>
      <c r="E10" s="2" t="s">
        <v>45</v>
      </c>
    </row>
    <row r="11" spans="1:10" ht="28.8" x14ac:dyDescent="0.3">
      <c r="B11" s="3">
        <f>B10+1</f>
        <v>2</v>
      </c>
      <c r="C11" s="23" t="s">
        <v>38</v>
      </c>
      <c r="D11" s="23" t="s">
        <v>46</v>
      </c>
      <c r="E11" s="2" t="s">
        <v>47</v>
      </c>
    </row>
    <row r="12" spans="1:10" x14ac:dyDescent="0.3">
      <c r="B12" s="3">
        <f t="shared" ref="B12:B25" si="0">B11+1</f>
        <v>3</v>
      </c>
      <c r="C12" s="23" t="s">
        <v>39</v>
      </c>
      <c r="D12" s="23" t="s">
        <v>46</v>
      </c>
      <c r="E12" s="2" t="s">
        <v>48</v>
      </c>
    </row>
    <row r="13" spans="1:10" x14ac:dyDescent="0.3">
      <c r="B13" s="3">
        <f t="shared" si="0"/>
        <v>4</v>
      </c>
      <c r="C13" s="23" t="s">
        <v>40</v>
      </c>
      <c r="D13" s="23" t="s">
        <v>49</v>
      </c>
      <c r="E13" s="2" t="s">
        <v>53</v>
      </c>
    </row>
    <row r="14" spans="1:10" ht="57.6" x14ac:dyDescent="0.3">
      <c r="B14" s="3">
        <f t="shared" si="0"/>
        <v>5</v>
      </c>
      <c r="C14" s="23" t="s">
        <v>41</v>
      </c>
      <c r="D14" s="23">
        <v>7</v>
      </c>
      <c r="E14" s="2" t="s">
        <v>54</v>
      </c>
    </row>
    <row r="15" spans="1:10" ht="28.8" x14ac:dyDescent="0.3">
      <c r="B15" s="3">
        <f t="shared" si="0"/>
        <v>6</v>
      </c>
      <c r="C15" s="23" t="s">
        <v>42</v>
      </c>
      <c r="D15" s="23" t="s">
        <v>50</v>
      </c>
      <c r="E15" s="2" t="s">
        <v>51</v>
      </c>
    </row>
    <row r="16" spans="1:10" ht="28.8" x14ac:dyDescent="0.3">
      <c r="B16" s="3">
        <f t="shared" si="0"/>
        <v>7</v>
      </c>
      <c r="C16" s="23" t="s">
        <v>43</v>
      </c>
      <c r="D16" s="23" t="s">
        <v>49</v>
      </c>
      <c r="E16" s="2" t="s">
        <v>52</v>
      </c>
    </row>
    <row r="17" spans="2:5" x14ac:dyDescent="0.3">
      <c r="B17" s="3">
        <f t="shared" si="0"/>
        <v>8</v>
      </c>
      <c r="C17" s="1"/>
      <c r="D17" s="1"/>
      <c r="E17" s="2"/>
    </row>
    <row r="18" spans="2:5" x14ac:dyDescent="0.3">
      <c r="B18" s="3">
        <f t="shared" si="0"/>
        <v>9</v>
      </c>
      <c r="C18" s="3"/>
      <c r="D18" s="3"/>
      <c r="E18" s="15"/>
    </row>
    <row r="19" spans="2:5" x14ac:dyDescent="0.3">
      <c r="B19" s="3">
        <f t="shared" si="0"/>
        <v>10</v>
      </c>
      <c r="C19" s="3"/>
      <c r="D19" s="3"/>
      <c r="E19" s="15"/>
    </row>
    <row r="20" spans="2:5" x14ac:dyDescent="0.3">
      <c r="B20" s="3">
        <f t="shared" si="0"/>
        <v>11</v>
      </c>
      <c r="C20" s="3"/>
      <c r="D20" s="3"/>
      <c r="E20" s="15"/>
    </row>
    <row r="21" spans="2:5" x14ac:dyDescent="0.3">
      <c r="B21" s="3">
        <f t="shared" si="0"/>
        <v>12</v>
      </c>
      <c r="C21" s="3"/>
      <c r="D21" s="3"/>
      <c r="E21" s="15"/>
    </row>
    <row r="22" spans="2:5" x14ac:dyDescent="0.3">
      <c r="B22" s="3">
        <f t="shared" si="0"/>
        <v>13</v>
      </c>
      <c r="C22" s="3"/>
      <c r="D22" s="3"/>
      <c r="E22" s="15"/>
    </row>
    <row r="23" spans="2:5" x14ac:dyDescent="0.3">
      <c r="B23" s="3">
        <f t="shared" si="0"/>
        <v>14</v>
      </c>
      <c r="C23" s="3"/>
      <c r="D23" s="3"/>
      <c r="E23" s="15"/>
    </row>
    <row r="24" spans="2:5" x14ac:dyDescent="0.3">
      <c r="B24" s="3">
        <f t="shared" si="0"/>
        <v>15</v>
      </c>
      <c r="C24" s="3"/>
      <c r="D24" s="3"/>
      <c r="E24" s="15"/>
    </row>
    <row r="25" spans="2:5" x14ac:dyDescent="0.3">
      <c r="B25" s="3">
        <f t="shared" si="0"/>
        <v>16</v>
      </c>
      <c r="C25" s="3"/>
      <c r="D25" s="3"/>
      <c r="E25" s="15"/>
    </row>
    <row r="27" spans="2:5" x14ac:dyDescent="0.3">
      <c r="C27" s="11" t="s">
        <v>8</v>
      </c>
      <c r="D27" s="12"/>
      <c r="E27" s="1" t="s">
        <v>44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J28"/>
  <sheetViews>
    <sheetView workbookViewId="0">
      <selection activeCell="D6" sqref="D6:E7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7" t="s">
        <v>23</v>
      </c>
      <c r="I1" s="27"/>
      <c r="J1" s="27"/>
    </row>
    <row r="2" spans="1:10" x14ac:dyDescent="0.3">
      <c r="B2" s="28" t="s">
        <v>18</v>
      </c>
      <c r="C2" s="28"/>
      <c r="D2" s="28"/>
      <c r="E2" s="28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5" t="s">
        <v>36</v>
      </c>
      <c r="J3" s="17">
        <v>235</v>
      </c>
    </row>
    <row r="4" spans="1:10" x14ac:dyDescent="0.3">
      <c r="C4" s="7" t="s">
        <v>0</v>
      </c>
      <c r="D4" s="32" t="s">
        <v>15</v>
      </c>
      <c r="E4" s="32"/>
      <c r="H4" s="17" t="s">
        <v>21</v>
      </c>
      <c r="I4" s="25" t="s">
        <v>77</v>
      </c>
      <c r="J4" s="3">
        <v>235</v>
      </c>
    </row>
    <row r="5" spans="1:10" x14ac:dyDescent="0.3">
      <c r="C5" s="7" t="s">
        <v>10</v>
      </c>
      <c r="D5" s="33" t="s">
        <v>12</v>
      </c>
      <c r="E5" s="34"/>
      <c r="H5" s="17" t="s">
        <v>22</v>
      </c>
      <c r="I5" s="3"/>
      <c r="J5" s="3"/>
    </row>
    <row r="6" spans="1:10" x14ac:dyDescent="0.3">
      <c r="B6" s="8"/>
      <c r="C6" s="9" t="s">
        <v>2</v>
      </c>
      <c r="D6" s="26" t="s">
        <v>69</v>
      </c>
      <c r="E6" s="26"/>
    </row>
    <row r="7" spans="1:10" x14ac:dyDescent="0.3">
      <c r="C7" s="9" t="s">
        <v>1</v>
      </c>
      <c r="D7" s="26" t="s">
        <v>33</v>
      </c>
      <c r="E7" s="26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28.8" x14ac:dyDescent="0.3">
      <c r="B10" s="3">
        <v>1</v>
      </c>
      <c r="C10" s="1" t="s">
        <v>55</v>
      </c>
      <c r="D10" s="2"/>
      <c r="E10" s="2" t="s">
        <v>64</v>
      </c>
    </row>
    <row r="11" spans="1:10" ht="28.8" x14ac:dyDescent="0.3">
      <c r="B11" s="3">
        <f>B10+1</f>
        <v>2</v>
      </c>
      <c r="C11" s="1" t="s">
        <v>56</v>
      </c>
      <c r="D11" s="2"/>
      <c r="E11" s="2" t="s">
        <v>65</v>
      </c>
    </row>
    <row r="12" spans="1:10" ht="28.8" x14ac:dyDescent="0.3">
      <c r="B12" s="3">
        <f t="shared" ref="B12:B26" si="0">B11+1</f>
        <v>3</v>
      </c>
      <c r="C12" s="1" t="s">
        <v>57</v>
      </c>
      <c r="D12" s="1"/>
      <c r="E12" s="2" t="s">
        <v>66</v>
      </c>
    </row>
    <row r="13" spans="1:10" ht="28.8" x14ac:dyDescent="0.3">
      <c r="B13" s="3">
        <f t="shared" si="0"/>
        <v>4</v>
      </c>
      <c r="C13" s="1" t="s">
        <v>57</v>
      </c>
      <c r="D13" s="1"/>
      <c r="E13" s="2" t="s">
        <v>67</v>
      </c>
    </row>
    <row r="14" spans="1:10" ht="28.8" x14ac:dyDescent="0.3">
      <c r="B14" s="3">
        <f t="shared" si="0"/>
        <v>5</v>
      </c>
      <c r="C14" s="1" t="s">
        <v>58</v>
      </c>
      <c r="D14" s="2"/>
      <c r="E14" s="2" t="s">
        <v>68</v>
      </c>
    </row>
    <row r="15" spans="1:10" ht="28.8" x14ac:dyDescent="0.3">
      <c r="B15" s="3">
        <f t="shared" si="0"/>
        <v>6</v>
      </c>
      <c r="C15" s="1" t="s">
        <v>59</v>
      </c>
      <c r="D15" s="1"/>
      <c r="E15" s="2" t="s">
        <v>70</v>
      </c>
    </row>
    <row r="16" spans="1:10" ht="43.2" x14ac:dyDescent="0.3">
      <c r="B16" s="3">
        <f t="shared" si="0"/>
        <v>7</v>
      </c>
      <c r="C16" s="1" t="s">
        <v>60</v>
      </c>
      <c r="D16" s="2"/>
      <c r="E16" s="2" t="s">
        <v>71</v>
      </c>
    </row>
    <row r="17" spans="2:5" ht="28.8" x14ac:dyDescent="0.3">
      <c r="B17" s="3">
        <f t="shared" si="0"/>
        <v>8</v>
      </c>
      <c r="C17" s="1" t="s">
        <v>61</v>
      </c>
      <c r="D17" s="2"/>
      <c r="E17" s="2" t="s">
        <v>72</v>
      </c>
    </row>
    <row r="18" spans="2:5" ht="28.8" x14ac:dyDescent="0.3">
      <c r="B18" s="3">
        <f t="shared" si="0"/>
        <v>9</v>
      </c>
      <c r="C18" s="1" t="s">
        <v>62</v>
      </c>
      <c r="D18" s="1"/>
      <c r="E18" s="2" t="s">
        <v>73</v>
      </c>
    </row>
    <row r="19" spans="2:5" ht="28.8" x14ac:dyDescent="0.3">
      <c r="B19" s="3">
        <f t="shared" si="0"/>
        <v>10</v>
      </c>
      <c r="C19" s="1" t="s">
        <v>63</v>
      </c>
      <c r="D19" s="2"/>
      <c r="E19" s="2" t="s">
        <v>74</v>
      </c>
    </row>
    <row r="20" spans="2:5" ht="28.8" x14ac:dyDescent="0.3">
      <c r="B20" s="3">
        <f t="shared" si="0"/>
        <v>11</v>
      </c>
      <c r="C20" s="1" t="s">
        <v>75</v>
      </c>
      <c r="D20" s="1"/>
      <c r="E20" s="2" t="s">
        <v>76</v>
      </c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1"/>
      <c r="E23" s="2"/>
    </row>
    <row r="24" spans="2:5" x14ac:dyDescent="0.3">
      <c r="B24" s="3">
        <f t="shared" si="0"/>
        <v>15</v>
      </c>
      <c r="C24" s="1"/>
      <c r="D24" s="1"/>
      <c r="E24" s="2"/>
    </row>
    <row r="25" spans="2:5" x14ac:dyDescent="0.3">
      <c r="B25" s="3">
        <f t="shared" si="0"/>
        <v>16</v>
      </c>
      <c r="C25" s="1"/>
      <c r="D25" s="1"/>
      <c r="E25" s="2"/>
    </row>
    <row r="26" spans="2:5" x14ac:dyDescent="0.3">
      <c r="B26" s="3">
        <f t="shared" si="0"/>
        <v>17</v>
      </c>
      <c r="C26" s="1"/>
      <c r="D26" s="1"/>
      <c r="E26" s="2"/>
    </row>
    <row r="28" spans="2:5" x14ac:dyDescent="0.3">
      <c r="C28" s="11" t="s">
        <v>8</v>
      </c>
      <c r="D28" s="12"/>
      <c r="E28" s="24">
        <v>5.2083333333333336E-2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J32"/>
  <sheetViews>
    <sheetView tabSelected="1" topLeftCell="F2" workbookViewId="0">
      <selection activeCell="E32" sqref="E32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41.44140625" style="6" customWidth="1"/>
    <col min="6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7" t="s">
        <v>23</v>
      </c>
      <c r="I1" s="27"/>
      <c r="J1" s="27"/>
    </row>
    <row r="2" spans="1:10" x14ac:dyDescent="0.3">
      <c r="B2" s="28" t="s">
        <v>17</v>
      </c>
      <c r="C2" s="28"/>
      <c r="D2" s="28"/>
      <c r="E2" s="28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2" t="s">
        <v>35</v>
      </c>
      <c r="J3" s="17">
        <v>235</v>
      </c>
    </row>
    <row r="4" spans="1:10" x14ac:dyDescent="0.3">
      <c r="C4" s="16" t="s">
        <v>0</v>
      </c>
      <c r="D4" s="35" t="s">
        <v>16</v>
      </c>
      <c r="E4" s="35"/>
      <c r="H4" s="17" t="s">
        <v>21</v>
      </c>
      <c r="I4" s="22" t="s">
        <v>36</v>
      </c>
      <c r="J4" s="3">
        <v>235</v>
      </c>
    </row>
    <row r="5" spans="1:10" x14ac:dyDescent="0.3">
      <c r="C5" s="16" t="s">
        <v>9</v>
      </c>
      <c r="D5" s="36" t="s">
        <v>11</v>
      </c>
      <c r="E5" s="37"/>
      <c r="H5" s="17" t="s">
        <v>22</v>
      </c>
      <c r="I5" s="3"/>
      <c r="J5" s="3"/>
    </row>
    <row r="6" spans="1:10" x14ac:dyDescent="0.3">
      <c r="B6" s="8"/>
      <c r="C6" s="9" t="s">
        <v>2</v>
      </c>
      <c r="D6" s="26" t="s">
        <v>34</v>
      </c>
      <c r="E6" s="26"/>
    </row>
    <row r="7" spans="1:10" x14ac:dyDescent="0.3">
      <c r="C7" s="9" t="s">
        <v>1</v>
      </c>
      <c r="D7" s="26" t="s">
        <v>33</v>
      </c>
      <c r="E7" s="26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43.2" x14ac:dyDescent="0.3">
      <c r="B10" s="3">
        <v>1</v>
      </c>
      <c r="C10" s="23" t="s">
        <v>78</v>
      </c>
      <c r="D10" s="2" t="s">
        <v>92</v>
      </c>
      <c r="E10" s="2" t="s">
        <v>107</v>
      </c>
    </row>
    <row r="11" spans="1:10" ht="57.6" x14ac:dyDescent="0.3">
      <c r="B11" s="3">
        <f>B10+1</f>
        <v>2</v>
      </c>
      <c r="C11" s="23" t="s">
        <v>79</v>
      </c>
      <c r="D11" s="1" t="s">
        <v>97</v>
      </c>
      <c r="E11" s="2" t="s">
        <v>96</v>
      </c>
    </row>
    <row r="12" spans="1:10" x14ac:dyDescent="0.3">
      <c r="B12" s="3">
        <f t="shared" ref="B12:B30" si="0">B11+1</f>
        <v>3</v>
      </c>
      <c r="C12" s="23" t="s">
        <v>80</v>
      </c>
      <c r="D12" s="1" t="s">
        <v>49</v>
      </c>
      <c r="E12" s="2" t="s">
        <v>102</v>
      </c>
    </row>
    <row r="13" spans="1:10" ht="43.2" x14ac:dyDescent="0.3">
      <c r="B13" s="3">
        <f t="shared" si="0"/>
        <v>4</v>
      </c>
      <c r="C13" s="23" t="s">
        <v>81</v>
      </c>
      <c r="D13" s="2" t="s">
        <v>99</v>
      </c>
      <c r="E13" s="2" t="s">
        <v>108</v>
      </c>
    </row>
    <row r="14" spans="1:10" ht="43.2" x14ac:dyDescent="0.3">
      <c r="B14" s="3">
        <f t="shared" si="0"/>
        <v>5</v>
      </c>
      <c r="C14" s="23" t="s">
        <v>82</v>
      </c>
      <c r="D14" s="2" t="s">
        <v>49</v>
      </c>
      <c r="E14" s="2" t="s">
        <v>103</v>
      </c>
    </row>
    <row r="15" spans="1:10" ht="43.2" x14ac:dyDescent="0.3">
      <c r="B15" s="3">
        <f t="shared" si="0"/>
        <v>6</v>
      </c>
      <c r="C15" s="23" t="s">
        <v>83</v>
      </c>
      <c r="D15" s="2" t="s">
        <v>98</v>
      </c>
      <c r="E15" s="2" t="s">
        <v>95</v>
      </c>
    </row>
    <row r="16" spans="1:10" ht="43.2" x14ac:dyDescent="0.3">
      <c r="B16" s="3">
        <f t="shared" si="0"/>
        <v>7</v>
      </c>
      <c r="C16" s="23" t="s">
        <v>84</v>
      </c>
      <c r="D16" s="2" t="s">
        <v>49</v>
      </c>
      <c r="E16" s="2" t="s">
        <v>104</v>
      </c>
    </row>
    <row r="17" spans="2:5" ht="57.6" x14ac:dyDescent="0.3">
      <c r="B17" s="3">
        <f t="shared" si="0"/>
        <v>8</v>
      </c>
      <c r="C17" s="23" t="s">
        <v>85</v>
      </c>
      <c r="D17" s="2" t="s">
        <v>100</v>
      </c>
      <c r="E17" s="2" t="s">
        <v>101</v>
      </c>
    </row>
    <row r="18" spans="2:5" ht="57.6" x14ac:dyDescent="0.3">
      <c r="B18" s="3">
        <f t="shared" si="0"/>
        <v>9</v>
      </c>
      <c r="C18" s="23" t="s">
        <v>86</v>
      </c>
      <c r="D18" s="2" t="s">
        <v>91</v>
      </c>
      <c r="E18" s="2" t="s">
        <v>90</v>
      </c>
    </row>
    <row r="19" spans="2:5" ht="43.2" x14ac:dyDescent="0.3">
      <c r="B19" s="3">
        <f t="shared" si="0"/>
        <v>10</v>
      </c>
      <c r="C19" s="23" t="s">
        <v>87</v>
      </c>
      <c r="D19" s="1" t="s">
        <v>49</v>
      </c>
      <c r="E19" s="2" t="s">
        <v>105</v>
      </c>
    </row>
    <row r="20" spans="2:5" ht="28.8" x14ac:dyDescent="0.3">
      <c r="B20" s="3">
        <f t="shared" si="0"/>
        <v>11</v>
      </c>
      <c r="C20" s="23" t="s">
        <v>88</v>
      </c>
      <c r="D20" s="2" t="s">
        <v>49</v>
      </c>
      <c r="E20" s="2" t="s">
        <v>106</v>
      </c>
    </row>
    <row r="21" spans="2:5" ht="86.4" x14ac:dyDescent="0.3">
      <c r="B21" s="3">
        <f t="shared" si="0"/>
        <v>12</v>
      </c>
      <c r="C21" s="23" t="s">
        <v>89</v>
      </c>
      <c r="D21" s="1" t="s">
        <v>94</v>
      </c>
      <c r="E21" s="2" t="s">
        <v>93</v>
      </c>
    </row>
    <row r="22" spans="2:5" x14ac:dyDescent="0.3">
      <c r="B22" s="3">
        <f t="shared" si="0"/>
        <v>13</v>
      </c>
      <c r="C22" s="1"/>
      <c r="D22" s="2"/>
      <c r="E22" s="2"/>
    </row>
    <row r="23" spans="2:5" x14ac:dyDescent="0.3">
      <c r="B23" s="3">
        <f t="shared" si="0"/>
        <v>14</v>
      </c>
      <c r="C23" s="1"/>
      <c r="D23" s="2"/>
      <c r="E23" s="2"/>
    </row>
    <row r="24" spans="2:5" x14ac:dyDescent="0.3">
      <c r="B24" s="3">
        <f t="shared" si="0"/>
        <v>15</v>
      </c>
      <c r="C24" s="1"/>
      <c r="D24" s="2"/>
      <c r="E24" s="2"/>
    </row>
    <row r="25" spans="2:5" x14ac:dyDescent="0.3">
      <c r="B25" s="3">
        <f t="shared" si="0"/>
        <v>16</v>
      </c>
      <c r="C25" s="1"/>
      <c r="D25" s="2"/>
      <c r="E25" s="2"/>
    </row>
    <row r="26" spans="2:5" x14ac:dyDescent="0.3">
      <c r="B26" s="3">
        <f t="shared" si="0"/>
        <v>17</v>
      </c>
      <c r="C26" s="1"/>
      <c r="D26" s="1"/>
      <c r="E26" s="2"/>
    </row>
    <row r="27" spans="2:5" x14ac:dyDescent="0.3">
      <c r="B27" s="3">
        <f t="shared" si="0"/>
        <v>18</v>
      </c>
      <c r="C27" s="1"/>
      <c r="D27" s="2"/>
      <c r="E27" s="1"/>
    </row>
    <row r="28" spans="2:5" x14ac:dyDescent="0.3">
      <c r="B28" s="3">
        <f t="shared" si="0"/>
        <v>19</v>
      </c>
      <c r="C28" s="1"/>
      <c r="D28" s="2"/>
      <c r="E28" s="2"/>
    </row>
    <row r="29" spans="2:5" x14ac:dyDescent="0.3">
      <c r="B29" s="3">
        <f t="shared" si="0"/>
        <v>20</v>
      </c>
      <c r="C29" s="1"/>
      <c r="D29" s="2"/>
      <c r="E29" s="2"/>
    </row>
    <row r="30" spans="2:5" x14ac:dyDescent="0.3">
      <c r="B30" s="3">
        <f t="shared" si="0"/>
        <v>21</v>
      </c>
      <c r="C30" s="1"/>
      <c r="D30" s="2"/>
      <c r="E30" s="2"/>
    </row>
    <row r="32" spans="2:5" x14ac:dyDescent="0.3">
      <c r="C32" s="11" t="s">
        <v>8</v>
      </c>
      <c r="D32" s="12"/>
      <c r="E32" s="24">
        <v>6.25E-2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J35"/>
  <sheetViews>
    <sheetView workbookViewId="0">
      <selection activeCell="I17" sqref="I17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23.88671875" style="6" customWidth="1"/>
    <col min="6" max="6" width="16.6640625" style="6" customWidth="1"/>
    <col min="7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7" t="s">
        <v>23</v>
      </c>
      <c r="I1" s="27"/>
      <c r="J1" s="27"/>
    </row>
    <row r="2" spans="1:10" x14ac:dyDescent="0.3">
      <c r="B2" s="28" t="s">
        <v>31</v>
      </c>
      <c r="C2" s="28"/>
      <c r="D2" s="28"/>
      <c r="E2" s="28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/>
      <c r="J3" s="17"/>
    </row>
    <row r="4" spans="1:10" x14ac:dyDescent="0.3">
      <c r="C4" s="16" t="s">
        <v>25</v>
      </c>
      <c r="D4" s="35"/>
      <c r="E4" s="35"/>
      <c r="H4" s="17" t="s">
        <v>21</v>
      </c>
      <c r="I4" s="3"/>
      <c r="J4" s="3"/>
    </row>
    <row r="5" spans="1:10" x14ac:dyDescent="0.3">
      <c r="C5" s="9" t="s">
        <v>2</v>
      </c>
      <c r="D5" s="26"/>
      <c r="E5" s="26"/>
      <c r="H5" s="17" t="s">
        <v>22</v>
      </c>
      <c r="I5" s="3"/>
      <c r="J5" s="3"/>
    </row>
    <row r="6" spans="1:10" x14ac:dyDescent="0.3">
      <c r="B6" s="8"/>
      <c r="C6" s="9" t="s">
        <v>1</v>
      </c>
      <c r="D6" s="26"/>
      <c r="E6" s="26"/>
      <c r="F6" s="20"/>
    </row>
    <row r="9" spans="1:10" x14ac:dyDescent="0.3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x14ac:dyDescent="0.3">
      <c r="B10" s="3">
        <v>1</v>
      </c>
      <c r="C10" s="1"/>
      <c r="D10" s="2"/>
      <c r="E10" s="2"/>
      <c r="F10" s="2"/>
    </row>
    <row r="11" spans="1:10" x14ac:dyDescent="0.3">
      <c r="B11" s="3">
        <f>B10+1</f>
        <v>2</v>
      </c>
      <c r="C11" s="1"/>
      <c r="D11" s="1"/>
      <c r="E11" s="2"/>
      <c r="F11" s="2"/>
    </row>
    <row r="12" spans="1:10" x14ac:dyDescent="0.3">
      <c r="B12" s="3">
        <f t="shared" ref="B12:B30" si="0">B11+1</f>
        <v>3</v>
      </c>
      <c r="C12" s="1"/>
      <c r="D12" s="1"/>
      <c r="E12" s="2"/>
      <c r="F12" s="2"/>
    </row>
    <row r="13" spans="1:10" x14ac:dyDescent="0.3">
      <c r="B13" s="3">
        <f t="shared" si="0"/>
        <v>4</v>
      </c>
      <c r="C13" s="1"/>
      <c r="D13" s="2"/>
      <c r="E13" s="2"/>
      <c r="F13" s="2"/>
    </row>
    <row r="14" spans="1:10" x14ac:dyDescent="0.3">
      <c r="B14" s="3">
        <f t="shared" si="0"/>
        <v>5</v>
      </c>
      <c r="C14" s="1"/>
      <c r="D14" s="2"/>
      <c r="E14" s="2"/>
      <c r="F14" s="2"/>
    </row>
    <row r="15" spans="1:10" x14ac:dyDescent="0.3">
      <c r="B15" s="3">
        <f t="shared" si="0"/>
        <v>6</v>
      </c>
      <c r="C15" s="1"/>
      <c r="D15" s="2"/>
      <c r="E15" s="2"/>
      <c r="F15" s="2"/>
    </row>
    <row r="16" spans="1:10" x14ac:dyDescent="0.3">
      <c r="B16" s="3">
        <f t="shared" si="0"/>
        <v>7</v>
      </c>
      <c r="C16" s="1"/>
      <c r="D16" s="2"/>
      <c r="E16" s="2"/>
      <c r="F16" s="2"/>
    </row>
    <row r="17" spans="2:6" x14ac:dyDescent="0.3">
      <c r="B17" s="3">
        <f t="shared" si="0"/>
        <v>8</v>
      </c>
      <c r="C17" s="1"/>
      <c r="D17" s="2"/>
      <c r="E17" s="2"/>
      <c r="F17" s="2"/>
    </row>
    <row r="18" spans="2:6" x14ac:dyDescent="0.3">
      <c r="B18" s="3">
        <f t="shared" si="0"/>
        <v>9</v>
      </c>
      <c r="C18" s="1"/>
      <c r="D18" s="2"/>
      <c r="E18" s="2"/>
      <c r="F18" s="2"/>
    </row>
    <row r="19" spans="2:6" x14ac:dyDescent="0.3">
      <c r="B19" s="3">
        <f t="shared" si="0"/>
        <v>10</v>
      </c>
      <c r="C19" s="1"/>
      <c r="D19" s="1"/>
      <c r="E19" s="2"/>
      <c r="F19" s="2"/>
    </row>
    <row r="20" spans="2:6" x14ac:dyDescent="0.3">
      <c r="B20" s="3">
        <f t="shared" si="0"/>
        <v>11</v>
      </c>
      <c r="C20" s="1"/>
      <c r="D20" s="2"/>
      <c r="E20" s="2"/>
      <c r="F20" s="2"/>
    </row>
    <row r="21" spans="2:6" x14ac:dyDescent="0.3">
      <c r="B21" s="3">
        <f t="shared" si="0"/>
        <v>12</v>
      </c>
      <c r="C21" s="1"/>
      <c r="D21" s="1"/>
      <c r="E21" s="2"/>
      <c r="F21" s="2"/>
    </row>
    <row r="22" spans="2:6" x14ac:dyDescent="0.3">
      <c r="B22" s="3">
        <f t="shared" si="0"/>
        <v>13</v>
      </c>
      <c r="C22" s="1"/>
      <c r="D22" s="2"/>
      <c r="E22" s="2"/>
      <c r="F22" s="2"/>
    </row>
    <row r="23" spans="2:6" x14ac:dyDescent="0.3">
      <c r="B23" s="3">
        <f t="shared" si="0"/>
        <v>14</v>
      </c>
      <c r="C23" s="1"/>
      <c r="D23" s="2"/>
      <c r="E23" s="2"/>
      <c r="F23" s="2"/>
    </row>
    <row r="24" spans="2:6" x14ac:dyDescent="0.3">
      <c r="B24" s="3">
        <f t="shared" si="0"/>
        <v>15</v>
      </c>
      <c r="C24" s="1"/>
      <c r="D24" s="2"/>
      <c r="E24" s="2"/>
      <c r="F24" s="2"/>
    </row>
    <row r="25" spans="2:6" x14ac:dyDescent="0.3">
      <c r="B25" s="3">
        <f t="shared" si="0"/>
        <v>16</v>
      </c>
      <c r="C25" s="1"/>
      <c r="D25" s="2"/>
      <c r="E25" s="2"/>
      <c r="F25" s="2"/>
    </row>
    <row r="26" spans="2:6" x14ac:dyDescent="0.3">
      <c r="B26" s="3">
        <f t="shared" si="0"/>
        <v>17</v>
      </c>
      <c r="C26" s="1"/>
      <c r="D26" s="1"/>
      <c r="E26" s="2"/>
      <c r="F26" s="2"/>
    </row>
    <row r="27" spans="2:6" x14ac:dyDescent="0.3">
      <c r="B27" s="3">
        <f t="shared" si="0"/>
        <v>18</v>
      </c>
      <c r="C27" s="1"/>
      <c r="D27" s="2"/>
      <c r="E27" s="1"/>
      <c r="F27" s="1"/>
    </row>
    <row r="28" spans="2:6" x14ac:dyDescent="0.3">
      <c r="B28" s="3">
        <f t="shared" si="0"/>
        <v>19</v>
      </c>
      <c r="C28" s="1"/>
      <c r="D28" s="2"/>
      <c r="E28" s="2"/>
      <c r="F28" s="2"/>
    </row>
    <row r="29" spans="2:6" x14ac:dyDescent="0.3">
      <c r="B29" s="3">
        <f t="shared" si="0"/>
        <v>20</v>
      </c>
      <c r="C29" s="1"/>
      <c r="D29" s="2"/>
      <c r="E29" s="2"/>
      <c r="F29" s="2"/>
    </row>
    <row r="30" spans="2:6" x14ac:dyDescent="0.3">
      <c r="B30" s="3">
        <f t="shared" si="0"/>
        <v>21</v>
      </c>
      <c r="C30" s="1"/>
      <c r="D30" s="2"/>
      <c r="E30" s="2"/>
      <c r="F30" s="2"/>
    </row>
    <row r="32" spans="2:6" x14ac:dyDescent="0.3">
      <c r="C32" s="38" t="s">
        <v>32</v>
      </c>
      <c r="D32" s="39"/>
      <c r="E32" s="39"/>
      <c r="F32" s="18"/>
    </row>
    <row r="35" spans="6:6" x14ac:dyDescent="0.3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user</cp:lastModifiedBy>
  <dcterms:created xsi:type="dcterms:W3CDTF">2015-02-21T15:59:19Z</dcterms:created>
  <dcterms:modified xsi:type="dcterms:W3CDTF">2026-03-04T18:12:07Z</dcterms:modified>
</cp:coreProperties>
</file>